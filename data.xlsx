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研究生\腐蚀\"/>
    </mc:Choice>
  </mc:AlternateContent>
  <xr:revisionPtr revIDLastSave="0" documentId="8_{4A4ACB23-58AF-4DF9-AF30-51974DA11844}" xr6:coauthVersionLast="47" xr6:coauthVersionMax="47" xr10:uidLastSave="{00000000-0000-0000-0000-000000000000}"/>
  <bookViews>
    <workbookView xWindow="-98" yWindow="-98" windowWidth="19396" windowHeight="11596" xr2:uid="{2D4F7551-F772-420B-A094-C8352F05C2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5" i="1" l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<sst xmlns="http://schemas.openxmlformats.org/spreadsheetml/2006/main" count="8" uniqueCount="8">
  <si>
    <t>功率</t>
  </si>
  <si>
    <t>扫描速度</t>
  </si>
  <si>
    <t>扫描间隙</t>
  </si>
  <si>
    <t>层厚</t>
  </si>
  <si>
    <t>能量密度</t>
  </si>
  <si>
    <t>致密度</t>
  </si>
  <si>
    <t>阻抗(MΩ cm-2)</t>
  </si>
  <si>
    <t>Jcorr
(μA cm-2)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</si>
</sst>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E782F-1C5D-4BC6-A39F-2CEC72E957FE}">
  <dimension ref="A1:H145"/>
  <sheetViews>
    <sheetView tabSelected="1" workbookViewId="0">
      <selection activeCell="H9" sqref="H9"/>
    </sheetView>
  </sheetViews>
  <sheetFormatPr defaultRowHeight="13.9" x14ac:dyDescent="0.4"/>
  <cols>
    <col min="7" max="7" width="15.3984375" customWidth="1"/>
  </cols>
  <sheetData>
    <row r="1" spans="1:8" ht="27.7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4">
      <c r="A2">
        <v>120</v>
      </c>
      <c r="B2">
        <v>600</v>
      </c>
      <c r="C2">
        <v>90</v>
      </c>
      <c r="D2">
        <v>50</v>
      </c>
      <c r="E2">
        <f>A2/(B2*C2*0.001*D2*0.001)</f>
        <v>44.444444444444443</v>
      </c>
      <c r="F2">
        <v>60.2</v>
      </c>
      <c r="G2">
        <v>7.4999999999999997E-2</v>
      </c>
      <c r="H2">
        <v>0.36099999999999999</v>
      </c>
    </row>
    <row r="3" spans="1:8" x14ac:dyDescent="0.4">
      <c r="A3">
        <v>130</v>
      </c>
      <c r="B3">
        <v>600</v>
      </c>
      <c r="C3">
        <v>90</v>
      </c>
      <c r="D3">
        <v>50</v>
      </c>
      <c r="E3">
        <f>A3/(B3*C3*0.001*D3*0.001)</f>
        <v>48.148148148148145</v>
      </c>
      <c r="F3">
        <v>60.3</v>
      </c>
      <c r="G3">
        <v>7.5999999999999998E-2</v>
      </c>
      <c r="H3">
        <v>0.35199999999999998</v>
      </c>
    </row>
    <row r="4" spans="1:8" x14ac:dyDescent="0.4">
      <c r="A4">
        <v>120</v>
      </c>
      <c r="B4">
        <v>600</v>
      </c>
      <c r="C4">
        <v>80</v>
      </c>
      <c r="D4">
        <v>50</v>
      </c>
      <c r="E4">
        <f>A4/(B4*C4*0.001*D4*0.001)</f>
        <v>50</v>
      </c>
      <c r="F4">
        <v>61.3</v>
      </c>
      <c r="G4">
        <v>7.4999999999999997E-2</v>
      </c>
      <c r="H4">
        <v>0.373</v>
      </c>
    </row>
    <row r="5" spans="1:8" x14ac:dyDescent="0.4">
      <c r="A5">
        <v>140</v>
      </c>
      <c r="B5">
        <v>600</v>
      </c>
      <c r="C5">
        <v>90</v>
      </c>
      <c r="D5">
        <v>50</v>
      </c>
      <c r="E5">
        <f>A5/(B5*C5*0.001*D5*0.001)</f>
        <v>51.851851851851848</v>
      </c>
      <c r="F5">
        <v>62.3</v>
      </c>
      <c r="G5">
        <v>7.6999999999999999E-2</v>
      </c>
      <c r="H5">
        <v>0.36399999999999999</v>
      </c>
    </row>
    <row r="6" spans="1:8" x14ac:dyDescent="0.4">
      <c r="A6">
        <v>120</v>
      </c>
      <c r="B6">
        <v>500</v>
      </c>
      <c r="C6">
        <v>90</v>
      </c>
      <c r="D6">
        <v>50</v>
      </c>
      <c r="E6">
        <f>A6/(B6*C6*0.001*D6*0.001)</f>
        <v>53.333333333333336</v>
      </c>
      <c r="F6">
        <v>62.3</v>
      </c>
      <c r="G6">
        <v>7.5999999999999998E-2</v>
      </c>
      <c r="H6">
        <v>0.35199999999999998</v>
      </c>
    </row>
    <row r="7" spans="1:8" x14ac:dyDescent="0.4">
      <c r="A7">
        <v>130</v>
      </c>
      <c r="B7">
        <v>600</v>
      </c>
      <c r="C7">
        <v>80</v>
      </c>
      <c r="D7">
        <v>50</v>
      </c>
      <c r="E7">
        <f>A7/(B7*C7*0.001*D7*0.001)</f>
        <v>54.166666666666671</v>
      </c>
      <c r="F7">
        <v>64.3</v>
      </c>
      <c r="G7">
        <v>7.8E-2</v>
      </c>
      <c r="H7">
        <v>0.35299999999999998</v>
      </c>
    </row>
    <row r="8" spans="1:8" x14ac:dyDescent="0.4">
      <c r="A8">
        <v>120</v>
      </c>
      <c r="B8">
        <v>600</v>
      </c>
      <c r="C8">
        <v>90</v>
      </c>
      <c r="D8">
        <v>40</v>
      </c>
      <c r="E8">
        <f>A8/(B8*C8*0.001*D8*0.001)</f>
        <v>55.55555555555555</v>
      </c>
      <c r="F8">
        <v>65.400000000000006</v>
      </c>
      <c r="G8">
        <v>7.9000000000000001E-2</v>
      </c>
      <c r="H8">
        <v>0.34499999999999997</v>
      </c>
    </row>
    <row r="9" spans="1:8" x14ac:dyDescent="0.4">
      <c r="A9">
        <v>150</v>
      </c>
      <c r="B9">
        <v>600</v>
      </c>
      <c r="C9">
        <v>90</v>
      </c>
      <c r="D9">
        <v>50</v>
      </c>
      <c r="E9">
        <f>A9/(B9*C9*0.001*D9*0.001)</f>
        <v>55.55555555555555</v>
      </c>
      <c r="F9">
        <v>65.599999999999994</v>
      </c>
      <c r="G9">
        <v>7.8E-2</v>
      </c>
      <c r="H9">
        <v>0.36099999999999999</v>
      </c>
    </row>
    <row r="10" spans="1:8" x14ac:dyDescent="0.4">
      <c r="A10">
        <v>130</v>
      </c>
      <c r="B10">
        <v>500</v>
      </c>
      <c r="C10">
        <v>90</v>
      </c>
      <c r="D10">
        <v>50</v>
      </c>
      <c r="E10">
        <f>A10/(B10*C10*0.001*D10*0.001)</f>
        <v>57.777777777777779</v>
      </c>
      <c r="F10">
        <v>66.3</v>
      </c>
      <c r="G10">
        <v>7.8E-2</v>
      </c>
      <c r="H10">
        <v>0.34200000000000003</v>
      </c>
    </row>
    <row r="11" spans="1:8" x14ac:dyDescent="0.4">
      <c r="A11">
        <v>140</v>
      </c>
      <c r="B11">
        <v>600</v>
      </c>
      <c r="C11">
        <v>80</v>
      </c>
      <c r="D11">
        <v>50</v>
      </c>
      <c r="E11">
        <f>A11/(B11*C11*0.001*D11*0.001)</f>
        <v>58.333333333333336</v>
      </c>
      <c r="F11">
        <v>66.3</v>
      </c>
      <c r="G11">
        <v>7.5999999999999998E-2</v>
      </c>
      <c r="H11">
        <v>0.312</v>
      </c>
    </row>
    <row r="12" spans="1:8" x14ac:dyDescent="0.4">
      <c r="A12">
        <v>160</v>
      </c>
      <c r="B12">
        <v>600</v>
      </c>
      <c r="C12">
        <v>90</v>
      </c>
      <c r="D12">
        <v>50</v>
      </c>
      <c r="E12">
        <f>A12/(B12*C12*0.001*D12*0.001)</f>
        <v>59.259259259259252</v>
      </c>
      <c r="F12">
        <v>67</v>
      </c>
      <c r="G12">
        <v>7.6999999999999999E-2</v>
      </c>
      <c r="H12">
        <v>0.30099999999999999</v>
      </c>
    </row>
    <row r="13" spans="1:8" x14ac:dyDescent="0.4">
      <c r="A13">
        <v>120</v>
      </c>
      <c r="B13">
        <v>500</v>
      </c>
      <c r="C13">
        <v>80</v>
      </c>
      <c r="D13">
        <v>50</v>
      </c>
      <c r="E13">
        <f>A13/(B13*C13*0.001*D13*0.001)</f>
        <v>60</v>
      </c>
      <c r="F13">
        <v>71.099999999999994</v>
      </c>
      <c r="G13">
        <v>7.9000000000000001E-2</v>
      </c>
      <c r="H13">
        <v>0.29299999999999998</v>
      </c>
    </row>
    <row r="14" spans="1:8" x14ac:dyDescent="0.4">
      <c r="A14">
        <v>130</v>
      </c>
      <c r="B14">
        <v>600</v>
      </c>
      <c r="C14">
        <v>90</v>
      </c>
      <c r="D14">
        <v>40</v>
      </c>
      <c r="E14">
        <f>A14/(B14*C14*0.001*D14*0.001)</f>
        <v>60.185185185185183</v>
      </c>
      <c r="F14">
        <v>71.3</v>
      </c>
      <c r="G14">
        <v>7.8E-2</v>
      </c>
      <c r="H14">
        <v>0.29199999999999998</v>
      </c>
    </row>
    <row r="15" spans="1:8" x14ac:dyDescent="0.4">
      <c r="A15">
        <v>140</v>
      </c>
      <c r="B15">
        <v>500</v>
      </c>
      <c r="C15">
        <v>90</v>
      </c>
      <c r="D15">
        <v>50</v>
      </c>
      <c r="E15">
        <f>A15/(B15*C15*0.001*D15*0.001)</f>
        <v>62.222222222222221</v>
      </c>
      <c r="F15">
        <v>71.5</v>
      </c>
      <c r="G15">
        <v>7.9000000000000001E-2</v>
      </c>
      <c r="H15">
        <v>0.28299999999999997</v>
      </c>
    </row>
    <row r="16" spans="1:8" x14ac:dyDescent="0.4">
      <c r="A16">
        <v>120</v>
      </c>
      <c r="B16">
        <v>600</v>
      </c>
      <c r="C16">
        <v>80</v>
      </c>
      <c r="D16">
        <v>40</v>
      </c>
      <c r="E16">
        <f>A16/(B16*C16*0.001*D16*0.001)</f>
        <v>62.5</v>
      </c>
      <c r="F16">
        <v>72.400000000000006</v>
      </c>
      <c r="G16">
        <v>8.2000000000000003E-2</v>
      </c>
      <c r="H16">
        <v>0.27900000000000003</v>
      </c>
    </row>
    <row r="17" spans="1:8" x14ac:dyDescent="0.4">
      <c r="A17">
        <v>150</v>
      </c>
      <c r="B17">
        <v>600</v>
      </c>
      <c r="C17">
        <v>80</v>
      </c>
      <c r="D17">
        <v>50</v>
      </c>
      <c r="E17">
        <f>A17/(B17*C17*0.001*D17*0.001)</f>
        <v>62.5</v>
      </c>
      <c r="F17">
        <v>72.400000000000006</v>
      </c>
      <c r="G17">
        <v>8.2000000000000003E-2</v>
      </c>
      <c r="H17">
        <v>0.27800000000000002</v>
      </c>
    </row>
    <row r="18" spans="1:8" x14ac:dyDescent="0.4">
      <c r="A18">
        <v>170</v>
      </c>
      <c r="B18">
        <v>600</v>
      </c>
      <c r="C18">
        <v>90</v>
      </c>
      <c r="D18">
        <v>50</v>
      </c>
      <c r="E18">
        <f>A18/(B18*C18*0.001*D18*0.001)</f>
        <v>62.962962962962962</v>
      </c>
      <c r="F18">
        <v>72.599999999999994</v>
      </c>
      <c r="G18">
        <v>8.3000000000000004E-2</v>
      </c>
      <c r="H18">
        <v>0.255</v>
      </c>
    </row>
    <row r="19" spans="1:8" x14ac:dyDescent="0.4">
      <c r="A19">
        <v>140</v>
      </c>
      <c r="B19">
        <v>600</v>
      </c>
      <c r="C19">
        <v>90</v>
      </c>
      <c r="D19">
        <v>40</v>
      </c>
      <c r="E19">
        <f>A19/(B19*C19*0.001*D19*0.001)</f>
        <v>64.81481481481481</v>
      </c>
      <c r="F19">
        <v>72.7</v>
      </c>
      <c r="G19">
        <v>8.1000000000000003E-2</v>
      </c>
      <c r="H19">
        <v>0.246</v>
      </c>
    </row>
    <row r="20" spans="1:8" x14ac:dyDescent="0.4">
      <c r="A20">
        <v>130</v>
      </c>
      <c r="B20">
        <v>500</v>
      </c>
      <c r="C20">
        <v>80</v>
      </c>
      <c r="D20">
        <v>50</v>
      </c>
      <c r="E20">
        <f>A20/(B20*C20*0.001*D20*0.001)</f>
        <v>65</v>
      </c>
      <c r="F20">
        <v>73.2</v>
      </c>
      <c r="G20">
        <v>8.3000000000000004E-2</v>
      </c>
      <c r="H20">
        <v>0.22900000000000001</v>
      </c>
    </row>
    <row r="21" spans="1:8" x14ac:dyDescent="0.4">
      <c r="A21">
        <v>180</v>
      </c>
      <c r="B21">
        <v>600</v>
      </c>
      <c r="C21">
        <v>90</v>
      </c>
      <c r="D21">
        <v>50</v>
      </c>
      <c r="E21">
        <f>A21/(B21*C21*0.001*D21*0.001)</f>
        <v>66.666666666666657</v>
      </c>
      <c r="F21">
        <v>73.5</v>
      </c>
      <c r="G21">
        <v>8.3000000000000004E-2</v>
      </c>
      <c r="H21">
        <v>0.247</v>
      </c>
    </row>
    <row r="22" spans="1:8" x14ac:dyDescent="0.4">
      <c r="A22">
        <v>120</v>
      </c>
      <c r="B22">
        <v>400</v>
      </c>
      <c r="C22">
        <v>90</v>
      </c>
      <c r="D22">
        <v>50</v>
      </c>
      <c r="E22">
        <f>A22/(B22*C22*0.001*D22*0.001)</f>
        <v>66.666666666666671</v>
      </c>
      <c r="F22">
        <v>73.5</v>
      </c>
      <c r="G22">
        <v>8.5999999999999993E-2</v>
      </c>
      <c r="H22">
        <v>0.219</v>
      </c>
    </row>
    <row r="23" spans="1:8" x14ac:dyDescent="0.4">
      <c r="A23">
        <v>120</v>
      </c>
      <c r="B23">
        <v>500</v>
      </c>
      <c r="C23">
        <v>90</v>
      </c>
      <c r="D23">
        <v>40</v>
      </c>
      <c r="E23">
        <f>A23/(B23*C23*0.001*D23*0.001)</f>
        <v>66.666666666666671</v>
      </c>
      <c r="F23">
        <v>73.599999999999994</v>
      </c>
      <c r="G23">
        <v>8.5999999999999993E-2</v>
      </c>
      <c r="H23">
        <v>0.214</v>
      </c>
    </row>
    <row r="24" spans="1:8" x14ac:dyDescent="0.4">
      <c r="A24">
        <v>150</v>
      </c>
      <c r="B24">
        <v>500</v>
      </c>
      <c r="C24">
        <v>90</v>
      </c>
      <c r="D24">
        <v>50</v>
      </c>
      <c r="E24">
        <f>A24/(B24*C24*0.001*D24*0.001)</f>
        <v>66.666666666666671</v>
      </c>
      <c r="F24">
        <v>73.599999999999994</v>
      </c>
      <c r="G24">
        <v>8.5000000000000006E-2</v>
      </c>
      <c r="H24">
        <v>0.19800000000000001</v>
      </c>
    </row>
    <row r="25" spans="1:8" x14ac:dyDescent="0.4">
      <c r="A25">
        <v>160</v>
      </c>
      <c r="B25">
        <v>600</v>
      </c>
      <c r="C25">
        <v>80</v>
      </c>
      <c r="D25">
        <v>50</v>
      </c>
      <c r="E25">
        <f>A25/(B25*C25*0.001*D25*0.001)</f>
        <v>66.666666666666671</v>
      </c>
      <c r="F25">
        <v>73.7</v>
      </c>
      <c r="G25">
        <v>8.5999999999999993E-2</v>
      </c>
      <c r="H25">
        <v>0.184</v>
      </c>
    </row>
    <row r="26" spans="1:8" x14ac:dyDescent="0.4">
      <c r="A26">
        <v>130</v>
      </c>
      <c r="B26">
        <v>600</v>
      </c>
      <c r="C26">
        <v>80</v>
      </c>
      <c r="D26">
        <v>40</v>
      </c>
      <c r="E26">
        <f>A26/(B26*C26*0.001*D26*0.001)</f>
        <v>67.708333333333343</v>
      </c>
      <c r="F26">
        <v>73.900000000000006</v>
      </c>
      <c r="G26">
        <v>8.6999999999999994E-2</v>
      </c>
      <c r="H26">
        <v>0.186</v>
      </c>
    </row>
    <row r="27" spans="1:8" x14ac:dyDescent="0.4">
      <c r="A27">
        <v>150</v>
      </c>
      <c r="B27">
        <v>600</v>
      </c>
      <c r="C27">
        <v>90</v>
      </c>
      <c r="D27">
        <v>40</v>
      </c>
      <c r="E27">
        <f>A27/(B27*C27*0.001*D27*0.001)</f>
        <v>69.444444444444443</v>
      </c>
      <c r="F27">
        <v>74.400000000000006</v>
      </c>
      <c r="G27">
        <v>8.8999999999999996E-2</v>
      </c>
      <c r="H27">
        <v>0.17799999999999999</v>
      </c>
    </row>
    <row r="28" spans="1:8" x14ac:dyDescent="0.4">
      <c r="A28">
        <v>140</v>
      </c>
      <c r="B28">
        <v>500</v>
      </c>
      <c r="C28">
        <v>80</v>
      </c>
      <c r="D28">
        <v>50</v>
      </c>
      <c r="E28">
        <f>A28/(B28*C28*0.001*D28*0.001)</f>
        <v>70</v>
      </c>
      <c r="F28">
        <v>76.099999999999994</v>
      </c>
      <c r="G28">
        <v>0.09</v>
      </c>
      <c r="H28">
        <v>0.16300000000000001</v>
      </c>
    </row>
    <row r="29" spans="1:8" x14ac:dyDescent="0.4">
      <c r="A29">
        <v>190</v>
      </c>
      <c r="B29">
        <v>600</v>
      </c>
      <c r="C29">
        <v>90</v>
      </c>
      <c r="D29">
        <v>50</v>
      </c>
      <c r="E29">
        <f>A29/(B29*C29*0.001*D29*0.001)</f>
        <v>70.370370370370367</v>
      </c>
      <c r="F29">
        <v>76.2</v>
      </c>
      <c r="G29">
        <v>9.0999999999999998E-2</v>
      </c>
      <c r="H29">
        <v>0.17499999999999999</v>
      </c>
    </row>
    <row r="30" spans="1:8" x14ac:dyDescent="0.4">
      <c r="A30">
        <v>170</v>
      </c>
      <c r="B30">
        <v>600</v>
      </c>
      <c r="C30">
        <v>80</v>
      </c>
      <c r="D30">
        <v>50</v>
      </c>
      <c r="E30">
        <f>A30/(B30*C30*0.001*D30*0.001)</f>
        <v>70.833333333333343</v>
      </c>
      <c r="F30">
        <v>76.3</v>
      </c>
      <c r="G30">
        <v>9.4E-2</v>
      </c>
      <c r="H30">
        <v>0.16800000000000001</v>
      </c>
    </row>
    <row r="31" spans="1:8" x14ac:dyDescent="0.4">
      <c r="A31">
        <v>160</v>
      </c>
      <c r="B31">
        <v>500</v>
      </c>
      <c r="C31">
        <v>90</v>
      </c>
      <c r="D31">
        <v>50</v>
      </c>
      <c r="E31">
        <f>A31/(B31*C31*0.001*D31*0.001)</f>
        <v>71.111111111111114</v>
      </c>
      <c r="F31">
        <v>76.5</v>
      </c>
      <c r="G31">
        <v>9.8000000000000004E-2</v>
      </c>
      <c r="H31">
        <v>0.16500000000000001</v>
      </c>
    </row>
    <row r="32" spans="1:8" x14ac:dyDescent="0.4">
      <c r="A32">
        <v>130</v>
      </c>
      <c r="B32">
        <v>400</v>
      </c>
      <c r="C32">
        <v>90</v>
      </c>
      <c r="D32">
        <v>50</v>
      </c>
      <c r="E32">
        <f>A32/(B32*C32*0.001*D32*0.001)</f>
        <v>72.222222222222214</v>
      </c>
      <c r="F32">
        <v>77.2</v>
      </c>
      <c r="G32">
        <v>9.6000000000000002E-2</v>
      </c>
      <c r="H32">
        <v>0.159</v>
      </c>
    </row>
    <row r="33" spans="1:8" x14ac:dyDescent="0.4">
      <c r="A33">
        <v>130</v>
      </c>
      <c r="B33">
        <v>500</v>
      </c>
      <c r="C33">
        <v>90</v>
      </c>
      <c r="D33">
        <v>40</v>
      </c>
      <c r="E33">
        <f>A33/(B33*C33*0.001*D33*0.001)</f>
        <v>72.222222222222214</v>
      </c>
      <c r="F33">
        <v>77.400000000000006</v>
      </c>
      <c r="G33">
        <v>9.4E-2</v>
      </c>
      <c r="H33">
        <v>0.16600000000000001</v>
      </c>
    </row>
    <row r="34" spans="1:8" x14ac:dyDescent="0.4">
      <c r="A34">
        <v>140</v>
      </c>
      <c r="B34">
        <v>600</v>
      </c>
      <c r="C34">
        <v>80</v>
      </c>
      <c r="D34">
        <v>40</v>
      </c>
      <c r="E34">
        <f>A34/(B34*C34*0.001*D34*0.001)</f>
        <v>72.916666666666671</v>
      </c>
      <c r="F34">
        <v>77.599999999999994</v>
      </c>
      <c r="G34">
        <v>9.6000000000000002E-2</v>
      </c>
      <c r="H34">
        <v>0.158</v>
      </c>
    </row>
    <row r="35" spans="1:8" x14ac:dyDescent="0.4">
      <c r="A35" s="2">
        <v>120</v>
      </c>
      <c r="B35" s="2">
        <v>600</v>
      </c>
      <c r="C35" s="2">
        <v>90</v>
      </c>
      <c r="D35" s="2">
        <v>30</v>
      </c>
      <c r="E35" s="2">
        <f>A35/(B35*C35*0.001*D35*0.001)</f>
        <v>74.074074074074076</v>
      </c>
      <c r="F35" s="2">
        <v>78.5</v>
      </c>
      <c r="G35" s="2">
        <v>9.9000000000000005E-2</v>
      </c>
      <c r="H35" s="2">
        <v>0.154</v>
      </c>
    </row>
    <row r="36" spans="1:8" x14ac:dyDescent="0.4">
      <c r="A36">
        <v>160</v>
      </c>
      <c r="B36">
        <v>600</v>
      </c>
      <c r="C36">
        <v>90</v>
      </c>
      <c r="D36">
        <v>40</v>
      </c>
      <c r="E36">
        <f>A36/(B36*C36*0.001*D36*0.001)</f>
        <v>74.074074074074076</v>
      </c>
      <c r="F36">
        <v>78.599999999999994</v>
      </c>
      <c r="G36">
        <v>9.6000000000000002E-2</v>
      </c>
      <c r="H36">
        <v>0.152</v>
      </c>
    </row>
    <row r="37" spans="1:8" x14ac:dyDescent="0.4">
      <c r="A37">
        <v>120</v>
      </c>
      <c r="B37">
        <v>400</v>
      </c>
      <c r="C37">
        <v>80</v>
      </c>
      <c r="D37">
        <v>50</v>
      </c>
      <c r="E37">
        <f>A37/(B37*C37*0.001*D37*0.001)</f>
        <v>75</v>
      </c>
      <c r="F37">
        <v>79</v>
      </c>
      <c r="G37">
        <v>9.8000000000000004E-2</v>
      </c>
      <c r="H37">
        <v>0.15</v>
      </c>
    </row>
    <row r="38" spans="1:8" x14ac:dyDescent="0.4">
      <c r="A38">
        <v>120</v>
      </c>
      <c r="B38">
        <v>500</v>
      </c>
      <c r="C38">
        <v>80</v>
      </c>
      <c r="D38">
        <v>40</v>
      </c>
      <c r="E38">
        <f>A38/(B38*C38*0.001*D38*0.001)</f>
        <v>75</v>
      </c>
      <c r="F38">
        <v>79.099999999999994</v>
      </c>
      <c r="G38">
        <v>9.7000000000000003E-2</v>
      </c>
      <c r="H38">
        <v>0.14799999999999999</v>
      </c>
    </row>
    <row r="39" spans="1:8" x14ac:dyDescent="0.4">
      <c r="A39">
        <v>150</v>
      </c>
      <c r="B39">
        <v>500</v>
      </c>
      <c r="C39">
        <v>80</v>
      </c>
      <c r="D39">
        <v>50</v>
      </c>
      <c r="E39">
        <f>A39/(B39*C39*0.001*D39*0.001)</f>
        <v>75</v>
      </c>
      <c r="F39">
        <v>79.2</v>
      </c>
      <c r="G39">
        <v>0.1</v>
      </c>
      <c r="H39">
        <v>0.14699999999999999</v>
      </c>
    </row>
    <row r="40" spans="1:8" x14ac:dyDescent="0.4">
      <c r="A40">
        <v>180</v>
      </c>
      <c r="B40">
        <v>600</v>
      </c>
      <c r="C40">
        <v>80</v>
      </c>
      <c r="D40">
        <v>50</v>
      </c>
      <c r="E40">
        <f>A40/(B40*C40*0.001*D40*0.001)</f>
        <v>75</v>
      </c>
      <c r="F40">
        <v>79.3</v>
      </c>
      <c r="G40">
        <v>0.1</v>
      </c>
      <c r="H40">
        <v>0.14599999999999999</v>
      </c>
    </row>
    <row r="41" spans="1:8" x14ac:dyDescent="0.4">
      <c r="A41">
        <v>170</v>
      </c>
      <c r="B41">
        <v>500</v>
      </c>
      <c r="C41">
        <v>90</v>
      </c>
      <c r="D41">
        <v>50</v>
      </c>
      <c r="E41">
        <f>A41/(B41*C41*0.001*D41*0.001)</f>
        <v>75.555555555555557</v>
      </c>
      <c r="F41">
        <v>79.3</v>
      </c>
      <c r="G41">
        <v>0.11</v>
      </c>
      <c r="H41">
        <v>0.14499999999999999</v>
      </c>
    </row>
    <row r="42" spans="1:8" x14ac:dyDescent="0.4">
      <c r="A42">
        <v>140</v>
      </c>
      <c r="B42">
        <v>400</v>
      </c>
      <c r="C42">
        <v>90</v>
      </c>
      <c r="D42">
        <v>50</v>
      </c>
      <c r="E42">
        <f>A42/(B42*C42*0.001*D42*0.001)</f>
        <v>77.777777777777771</v>
      </c>
      <c r="F42">
        <v>81</v>
      </c>
      <c r="G42">
        <v>0.12</v>
      </c>
      <c r="H42">
        <v>0.14299999999999999</v>
      </c>
    </row>
    <row r="43" spans="1:8" x14ac:dyDescent="0.4">
      <c r="A43">
        <v>140</v>
      </c>
      <c r="B43">
        <v>500</v>
      </c>
      <c r="C43">
        <v>90</v>
      </c>
      <c r="D43">
        <v>40</v>
      </c>
      <c r="E43">
        <f>A43/(B43*C43*0.001*D43*0.001)</f>
        <v>77.777777777777771</v>
      </c>
      <c r="F43">
        <v>81.099999999999994</v>
      </c>
      <c r="G43">
        <v>0.11</v>
      </c>
      <c r="H43">
        <v>0.14299999999999999</v>
      </c>
    </row>
    <row r="44" spans="1:8" x14ac:dyDescent="0.4">
      <c r="A44">
        <v>150</v>
      </c>
      <c r="B44">
        <v>600</v>
      </c>
      <c r="C44">
        <v>80</v>
      </c>
      <c r="D44">
        <v>40</v>
      </c>
      <c r="E44">
        <f>A44/(B44*C44*0.001*D44*0.001)</f>
        <v>78.125</v>
      </c>
      <c r="F44">
        <v>81.3</v>
      </c>
      <c r="G44">
        <v>0.13</v>
      </c>
      <c r="H44">
        <v>0.14099999999999999</v>
      </c>
    </row>
    <row r="45" spans="1:8" x14ac:dyDescent="0.4">
      <c r="A45">
        <v>170</v>
      </c>
      <c r="B45">
        <v>600</v>
      </c>
      <c r="C45">
        <v>90</v>
      </c>
      <c r="D45">
        <v>40</v>
      </c>
      <c r="E45">
        <f>A45/(B45*C45*0.001*D45*0.001)</f>
        <v>78.703703703703695</v>
      </c>
      <c r="F45">
        <v>81.3</v>
      </c>
      <c r="G45">
        <v>0.13</v>
      </c>
      <c r="H45">
        <v>0.14299999999999999</v>
      </c>
    </row>
    <row r="46" spans="1:8" x14ac:dyDescent="0.4">
      <c r="A46">
        <v>190</v>
      </c>
      <c r="B46">
        <v>600</v>
      </c>
      <c r="C46">
        <v>80</v>
      </c>
      <c r="D46">
        <v>50</v>
      </c>
      <c r="E46">
        <f>A46/(B46*C46*0.001*D46*0.001)</f>
        <v>79.166666666666671</v>
      </c>
      <c r="F46">
        <v>81.400000000000006</v>
      </c>
      <c r="G46">
        <v>0.14000000000000001</v>
      </c>
      <c r="H46">
        <v>0.14000000000000001</v>
      </c>
    </row>
    <row r="47" spans="1:8" x14ac:dyDescent="0.4">
      <c r="A47">
        <v>160</v>
      </c>
      <c r="B47">
        <v>500</v>
      </c>
      <c r="C47">
        <v>80</v>
      </c>
      <c r="D47">
        <v>50</v>
      </c>
      <c r="E47">
        <f>A47/(B47*C47*0.001*D47*0.001)</f>
        <v>80</v>
      </c>
      <c r="F47">
        <v>81.599999999999994</v>
      </c>
      <c r="G47">
        <v>0.13</v>
      </c>
      <c r="H47">
        <v>0.13100000000000001</v>
      </c>
    </row>
    <row r="48" spans="1:8" x14ac:dyDescent="0.4">
      <c r="A48">
        <v>180</v>
      </c>
      <c r="B48">
        <v>500</v>
      </c>
      <c r="C48">
        <v>90</v>
      </c>
      <c r="D48">
        <v>50</v>
      </c>
      <c r="E48">
        <f>A48/(B48*C48*0.001*D48*0.001)</f>
        <v>80</v>
      </c>
      <c r="F48">
        <v>81.599999999999994</v>
      </c>
      <c r="G48">
        <v>0.13</v>
      </c>
      <c r="H48">
        <v>0.121</v>
      </c>
    </row>
    <row r="49" spans="1:8" x14ac:dyDescent="0.4">
      <c r="A49">
        <v>130</v>
      </c>
      <c r="B49">
        <v>600</v>
      </c>
      <c r="C49">
        <v>90</v>
      </c>
      <c r="D49">
        <v>30</v>
      </c>
      <c r="E49">
        <f>A49/(B49*C49*0.001*D49*0.001)</f>
        <v>80.246913580246911</v>
      </c>
      <c r="F49">
        <v>82.3</v>
      </c>
      <c r="G49">
        <v>0.15</v>
      </c>
      <c r="H49">
        <v>0.12</v>
      </c>
    </row>
    <row r="50" spans="1:8" x14ac:dyDescent="0.4">
      <c r="A50">
        <v>130</v>
      </c>
      <c r="B50">
        <v>400</v>
      </c>
      <c r="C50">
        <v>80</v>
      </c>
      <c r="D50">
        <v>50</v>
      </c>
      <c r="E50">
        <f>A50/(B50*C50*0.001*D50*0.001)</f>
        <v>81.25</v>
      </c>
      <c r="F50">
        <v>83.4</v>
      </c>
      <c r="G50">
        <v>0.14000000000000001</v>
      </c>
      <c r="H50">
        <v>0.11600000000000001</v>
      </c>
    </row>
    <row r="51" spans="1:8" x14ac:dyDescent="0.4">
      <c r="A51">
        <v>130</v>
      </c>
      <c r="B51">
        <v>500</v>
      </c>
      <c r="C51">
        <v>80</v>
      </c>
      <c r="D51">
        <v>40</v>
      </c>
      <c r="E51">
        <f>A51/(B51*C51*0.001*D51*0.001)</f>
        <v>81.25</v>
      </c>
      <c r="F51">
        <v>84</v>
      </c>
      <c r="G51">
        <v>0.13</v>
      </c>
      <c r="H51">
        <v>0.113</v>
      </c>
    </row>
    <row r="52" spans="1:8" x14ac:dyDescent="0.4">
      <c r="A52">
        <v>150</v>
      </c>
      <c r="B52">
        <v>400</v>
      </c>
      <c r="C52">
        <v>90</v>
      </c>
      <c r="D52">
        <v>50</v>
      </c>
      <c r="E52">
        <f>A52/(B52*C52*0.001*D52*0.001)</f>
        <v>83.333333333333329</v>
      </c>
      <c r="F52">
        <v>84.9</v>
      </c>
      <c r="G52">
        <v>0.16</v>
      </c>
      <c r="H52">
        <v>0.112</v>
      </c>
    </row>
    <row r="53" spans="1:8" x14ac:dyDescent="0.4">
      <c r="A53">
        <v>150</v>
      </c>
      <c r="B53">
        <v>500</v>
      </c>
      <c r="C53">
        <v>90</v>
      </c>
      <c r="D53">
        <v>40</v>
      </c>
      <c r="E53">
        <f>A53/(B53*C53*0.001*D53*0.001)</f>
        <v>83.333333333333329</v>
      </c>
      <c r="F53">
        <v>85</v>
      </c>
      <c r="G53">
        <v>0.15</v>
      </c>
      <c r="H53">
        <v>0.10100000000000001</v>
      </c>
    </row>
    <row r="54" spans="1:8" x14ac:dyDescent="0.4">
      <c r="A54">
        <v>180</v>
      </c>
      <c r="B54">
        <v>600</v>
      </c>
      <c r="C54">
        <v>90</v>
      </c>
      <c r="D54">
        <v>40</v>
      </c>
      <c r="E54">
        <f>A54/(B54*C54*0.001*D54*0.001)</f>
        <v>83.333333333333329</v>
      </c>
      <c r="F54">
        <v>85.1</v>
      </c>
      <c r="G54">
        <v>0.17</v>
      </c>
      <c r="H54">
        <v>9.8000000000000004E-2</v>
      </c>
    </row>
    <row r="55" spans="1:8" x14ac:dyDescent="0.4">
      <c r="A55">
        <v>120</v>
      </c>
      <c r="B55">
        <v>400</v>
      </c>
      <c r="C55">
        <v>90</v>
      </c>
      <c r="D55">
        <v>40</v>
      </c>
      <c r="E55">
        <f>A55/(B55*C55*0.001*D55*0.001)</f>
        <v>83.333333333333343</v>
      </c>
      <c r="F55">
        <v>85.2</v>
      </c>
      <c r="G55">
        <v>0.17</v>
      </c>
      <c r="H55">
        <v>9.4E-2</v>
      </c>
    </row>
    <row r="56" spans="1:8" x14ac:dyDescent="0.4">
      <c r="A56">
        <v>120</v>
      </c>
      <c r="B56">
        <v>600</v>
      </c>
      <c r="C56">
        <v>80</v>
      </c>
      <c r="D56">
        <v>30</v>
      </c>
      <c r="E56">
        <f>A56/(B56*C56*0.001*D56*0.001)</f>
        <v>83.333333333333343</v>
      </c>
      <c r="F56">
        <v>85.2</v>
      </c>
      <c r="G56">
        <v>0.18</v>
      </c>
      <c r="H56">
        <v>9.2999999999999999E-2</v>
      </c>
    </row>
    <row r="57" spans="1:8" x14ac:dyDescent="0.4">
      <c r="A57">
        <v>160</v>
      </c>
      <c r="B57">
        <v>600</v>
      </c>
      <c r="C57">
        <v>80</v>
      </c>
      <c r="D57">
        <v>40</v>
      </c>
      <c r="E57">
        <f>A57/(B57*C57*0.001*D57*0.001)</f>
        <v>83.333333333333343</v>
      </c>
      <c r="F57">
        <v>85.3</v>
      </c>
      <c r="G57">
        <v>0.16</v>
      </c>
      <c r="H57">
        <v>9.5000000000000001E-2</v>
      </c>
    </row>
    <row r="58" spans="1:8" x14ac:dyDescent="0.4">
      <c r="A58">
        <v>190</v>
      </c>
      <c r="B58">
        <v>500</v>
      </c>
      <c r="C58">
        <v>90</v>
      </c>
      <c r="D58">
        <v>50</v>
      </c>
      <c r="E58">
        <f>A58/(B58*C58*0.001*D58*0.001)</f>
        <v>84.444444444444443</v>
      </c>
      <c r="F58">
        <v>85.9</v>
      </c>
      <c r="G58">
        <v>0.19</v>
      </c>
      <c r="H58">
        <v>8.5000000000000006E-2</v>
      </c>
    </row>
    <row r="59" spans="1:8" x14ac:dyDescent="0.4">
      <c r="A59">
        <v>170</v>
      </c>
      <c r="B59">
        <v>500</v>
      </c>
      <c r="C59">
        <v>80</v>
      </c>
      <c r="D59">
        <v>50</v>
      </c>
      <c r="E59">
        <f>A59/(B59*C59*0.001*D59*0.001)</f>
        <v>85</v>
      </c>
      <c r="F59">
        <v>86.2</v>
      </c>
      <c r="G59">
        <v>0.19</v>
      </c>
      <c r="H59">
        <v>7.8E-2</v>
      </c>
    </row>
    <row r="60" spans="1:8" x14ac:dyDescent="0.4">
      <c r="A60">
        <v>140</v>
      </c>
      <c r="B60">
        <v>600</v>
      </c>
      <c r="C60">
        <v>90</v>
      </c>
      <c r="D60">
        <v>30</v>
      </c>
      <c r="E60">
        <f>A60/(B60*C60*0.001*D60*0.001)</f>
        <v>86.419753086419746</v>
      </c>
      <c r="F60">
        <v>87.5</v>
      </c>
      <c r="G60">
        <v>0.18</v>
      </c>
      <c r="H60">
        <v>8.5000000000000006E-2</v>
      </c>
    </row>
    <row r="61" spans="1:8" x14ac:dyDescent="0.4">
      <c r="A61">
        <v>140</v>
      </c>
      <c r="B61">
        <v>400</v>
      </c>
      <c r="C61">
        <v>80</v>
      </c>
      <c r="D61">
        <v>50</v>
      </c>
      <c r="E61">
        <f>A61/(B61*C61*0.001*D61*0.001)</f>
        <v>87.5</v>
      </c>
      <c r="F61">
        <v>88.1</v>
      </c>
      <c r="G61">
        <v>0.19</v>
      </c>
      <c r="H61">
        <v>7.2999999999999995E-2</v>
      </c>
    </row>
    <row r="62" spans="1:8" x14ac:dyDescent="0.4">
      <c r="A62">
        <v>140</v>
      </c>
      <c r="B62">
        <v>500</v>
      </c>
      <c r="C62">
        <v>80</v>
      </c>
      <c r="D62">
        <v>40</v>
      </c>
      <c r="E62">
        <f>A62/(B62*C62*0.001*D62*0.001)</f>
        <v>87.5</v>
      </c>
      <c r="F62">
        <v>88.1</v>
      </c>
      <c r="G62">
        <v>0.19</v>
      </c>
      <c r="H62">
        <v>6.8000000000000005E-2</v>
      </c>
    </row>
    <row r="63" spans="1:8" x14ac:dyDescent="0.4">
      <c r="A63">
        <v>190</v>
      </c>
      <c r="B63">
        <v>600</v>
      </c>
      <c r="C63">
        <v>90</v>
      </c>
      <c r="D63">
        <v>40</v>
      </c>
      <c r="E63">
        <f>A63/(B63*C63*0.001*D63*0.001)</f>
        <v>87.962962962962962</v>
      </c>
      <c r="F63">
        <v>88.3</v>
      </c>
      <c r="G63">
        <v>0.2</v>
      </c>
      <c r="H63">
        <v>6.5000000000000002E-2</v>
      </c>
    </row>
    <row r="64" spans="1:8" x14ac:dyDescent="0.4">
      <c r="A64">
        <v>170</v>
      </c>
      <c r="B64">
        <v>600</v>
      </c>
      <c r="C64">
        <v>80</v>
      </c>
      <c r="D64">
        <v>40</v>
      </c>
      <c r="E64">
        <f>A64/(B64*C64*0.001*D64*0.001)</f>
        <v>88.541666666666671</v>
      </c>
      <c r="F64">
        <v>88.6</v>
      </c>
      <c r="G64">
        <v>0.21</v>
      </c>
      <c r="H64">
        <v>0.06</v>
      </c>
    </row>
    <row r="65" spans="1:8" x14ac:dyDescent="0.4">
      <c r="A65" s="2">
        <v>120</v>
      </c>
      <c r="B65" s="2">
        <v>500</v>
      </c>
      <c r="C65" s="2">
        <v>90</v>
      </c>
      <c r="D65" s="2">
        <v>30</v>
      </c>
      <c r="E65" s="2">
        <f>A65/(B65*C65*0.001*D65*0.001)</f>
        <v>88.888888888888886</v>
      </c>
      <c r="F65" s="2">
        <v>89.2</v>
      </c>
      <c r="G65" s="2">
        <v>0.22</v>
      </c>
      <c r="H65" s="2">
        <v>5.3999999999999999E-2</v>
      </c>
    </row>
    <row r="66" spans="1:8" x14ac:dyDescent="0.4">
      <c r="A66">
        <v>160</v>
      </c>
      <c r="B66">
        <v>400</v>
      </c>
      <c r="C66">
        <v>90</v>
      </c>
      <c r="D66">
        <v>50</v>
      </c>
      <c r="E66">
        <f>A66/(B66*C66*0.001*D66*0.001)</f>
        <v>88.888888888888886</v>
      </c>
      <c r="F66">
        <v>89.2</v>
      </c>
      <c r="G66">
        <v>0.21</v>
      </c>
      <c r="H66">
        <v>5.8999999999999997E-2</v>
      </c>
    </row>
    <row r="67" spans="1:8" x14ac:dyDescent="0.4">
      <c r="A67">
        <v>160</v>
      </c>
      <c r="B67">
        <v>500</v>
      </c>
      <c r="C67">
        <v>90</v>
      </c>
      <c r="D67">
        <v>40</v>
      </c>
      <c r="E67">
        <f>A67/(B67*C67*0.001*D67*0.001)</f>
        <v>88.888888888888886</v>
      </c>
      <c r="F67">
        <v>89.3</v>
      </c>
      <c r="G67">
        <v>0.2</v>
      </c>
      <c r="H67">
        <v>5.2999999999999999E-2</v>
      </c>
    </row>
    <row r="68" spans="1:8" x14ac:dyDescent="0.4">
      <c r="A68">
        <v>180</v>
      </c>
      <c r="B68">
        <v>500</v>
      </c>
      <c r="C68">
        <v>80</v>
      </c>
      <c r="D68">
        <v>50</v>
      </c>
      <c r="E68">
        <f>A68/(B68*C68*0.001*D68*0.001)</f>
        <v>90</v>
      </c>
      <c r="F68">
        <v>90.3</v>
      </c>
      <c r="G68">
        <v>0.22</v>
      </c>
      <c r="H68">
        <v>5.0999999999999997E-2</v>
      </c>
    </row>
    <row r="69" spans="1:8" x14ac:dyDescent="0.4">
      <c r="A69">
        <v>130</v>
      </c>
      <c r="B69">
        <v>400</v>
      </c>
      <c r="C69">
        <v>90</v>
      </c>
      <c r="D69">
        <v>40</v>
      </c>
      <c r="E69">
        <f>A69/(B69*C69*0.001*D69*0.001)</f>
        <v>90.277777777777786</v>
      </c>
      <c r="F69">
        <v>90.6</v>
      </c>
      <c r="G69">
        <v>0.21</v>
      </c>
      <c r="H69">
        <v>0.05</v>
      </c>
    </row>
    <row r="70" spans="1:8" x14ac:dyDescent="0.4">
      <c r="A70">
        <v>130</v>
      </c>
      <c r="B70">
        <v>600</v>
      </c>
      <c r="C70">
        <v>80</v>
      </c>
      <c r="D70">
        <v>30</v>
      </c>
      <c r="E70">
        <f>A70/(B70*C70*0.001*D70*0.001)</f>
        <v>90.277777777777786</v>
      </c>
      <c r="F70">
        <v>91.2</v>
      </c>
      <c r="G70">
        <v>0.21</v>
      </c>
      <c r="H70">
        <v>4.9000000000000002E-2</v>
      </c>
    </row>
    <row r="71" spans="1:8" x14ac:dyDescent="0.4">
      <c r="A71">
        <v>150</v>
      </c>
      <c r="B71">
        <v>600</v>
      </c>
      <c r="C71">
        <v>90</v>
      </c>
      <c r="D71">
        <v>30</v>
      </c>
      <c r="E71">
        <f>A71/(B71*C71*0.001*D71*0.001)</f>
        <v>92.592592592592581</v>
      </c>
      <c r="F71">
        <v>92.3</v>
      </c>
      <c r="G71">
        <v>0.22</v>
      </c>
      <c r="H71">
        <v>4.8000000000000001E-2</v>
      </c>
    </row>
    <row r="72" spans="1:8" x14ac:dyDescent="0.4">
      <c r="A72">
        <v>120</v>
      </c>
      <c r="B72">
        <v>400</v>
      </c>
      <c r="C72">
        <v>80</v>
      </c>
      <c r="D72">
        <v>40</v>
      </c>
      <c r="E72">
        <f>A72/(B72*C72*0.001*D72*0.001)</f>
        <v>93.75</v>
      </c>
      <c r="F72">
        <v>93.8</v>
      </c>
      <c r="G72">
        <v>0.22</v>
      </c>
      <c r="H72">
        <v>4.9000000000000002E-2</v>
      </c>
    </row>
    <row r="73" spans="1:8" x14ac:dyDescent="0.4">
      <c r="A73">
        <v>150</v>
      </c>
      <c r="B73">
        <v>400</v>
      </c>
      <c r="C73">
        <v>80</v>
      </c>
      <c r="D73">
        <v>50</v>
      </c>
      <c r="E73">
        <f>A73/(B73*C73*0.001*D73*0.001)</f>
        <v>93.75</v>
      </c>
      <c r="F73">
        <v>94.1</v>
      </c>
      <c r="G73">
        <v>0.23</v>
      </c>
      <c r="H73">
        <v>4.7E-2</v>
      </c>
    </row>
    <row r="74" spans="1:8" x14ac:dyDescent="0.4">
      <c r="A74">
        <v>150</v>
      </c>
      <c r="B74">
        <v>500</v>
      </c>
      <c r="C74">
        <v>80</v>
      </c>
      <c r="D74">
        <v>40</v>
      </c>
      <c r="E74">
        <f>A74/(B74*C74*0.001*D74*0.001)</f>
        <v>93.75</v>
      </c>
      <c r="F74">
        <v>94.2</v>
      </c>
      <c r="G74">
        <v>0.24</v>
      </c>
      <c r="H74">
        <v>4.4999999999999998E-2</v>
      </c>
    </row>
    <row r="75" spans="1:8" x14ac:dyDescent="0.4">
      <c r="A75">
        <v>180</v>
      </c>
      <c r="B75">
        <v>600</v>
      </c>
      <c r="C75">
        <v>80</v>
      </c>
      <c r="D75">
        <v>40</v>
      </c>
      <c r="E75">
        <f>A75/(B75*C75*0.001*D75*0.001)</f>
        <v>93.75</v>
      </c>
      <c r="F75">
        <v>94.3</v>
      </c>
      <c r="G75">
        <v>0.23</v>
      </c>
      <c r="H75">
        <v>4.1000000000000002E-2</v>
      </c>
    </row>
    <row r="76" spans="1:8" x14ac:dyDescent="0.4">
      <c r="A76">
        <v>170</v>
      </c>
      <c r="B76">
        <v>400</v>
      </c>
      <c r="C76">
        <v>90</v>
      </c>
      <c r="D76">
        <v>50</v>
      </c>
      <c r="E76">
        <f>A76/(B76*C76*0.001*D76*0.001)</f>
        <v>94.444444444444443</v>
      </c>
      <c r="F76">
        <v>94.5</v>
      </c>
      <c r="G76">
        <v>0.25</v>
      </c>
      <c r="H76">
        <v>4.2000000000000003E-2</v>
      </c>
    </row>
    <row r="77" spans="1:8" x14ac:dyDescent="0.4">
      <c r="A77">
        <v>170</v>
      </c>
      <c r="B77">
        <v>500</v>
      </c>
      <c r="C77">
        <v>90</v>
      </c>
      <c r="D77">
        <v>40</v>
      </c>
      <c r="E77">
        <f>A77/(B77*C77*0.001*D77*0.001)</f>
        <v>94.444444444444443</v>
      </c>
      <c r="F77">
        <v>95.6</v>
      </c>
      <c r="G77">
        <v>0.24</v>
      </c>
      <c r="H77">
        <v>3.9E-2</v>
      </c>
    </row>
    <row r="78" spans="1:8" x14ac:dyDescent="0.4">
      <c r="A78">
        <v>190</v>
      </c>
      <c r="B78">
        <v>500</v>
      </c>
      <c r="C78">
        <v>80</v>
      </c>
      <c r="D78">
        <v>50</v>
      </c>
      <c r="E78">
        <f>A78/(B78*C78*0.001*D78*0.001)</f>
        <v>95</v>
      </c>
      <c r="F78">
        <v>96.6</v>
      </c>
      <c r="G78">
        <v>0.25</v>
      </c>
      <c r="H78">
        <v>3.5999999999999997E-2</v>
      </c>
    </row>
    <row r="79" spans="1:8" x14ac:dyDescent="0.4">
      <c r="A79">
        <v>130</v>
      </c>
      <c r="B79">
        <v>500</v>
      </c>
      <c r="C79">
        <v>90</v>
      </c>
      <c r="D79">
        <v>30</v>
      </c>
      <c r="E79">
        <f>A79/(B79*C79*0.001*D79*0.001)</f>
        <v>96.296296296296291</v>
      </c>
      <c r="F79">
        <v>97.2</v>
      </c>
      <c r="G79">
        <v>0.25</v>
      </c>
      <c r="H79">
        <v>3.5000000000000003E-2</v>
      </c>
    </row>
    <row r="80" spans="1:8" x14ac:dyDescent="0.4">
      <c r="A80">
        <v>140</v>
      </c>
      <c r="B80">
        <v>400</v>
      </c>
      <c r="C80">
        <v>90</v>
      </c>
      <c r="D80">
        <v>40</v>
      </c>
      <c r="E80">
        <f>A80/(B80*C80*0.001*D80*0.001)</f>
        <v>97.222222222222229</v>
      </c>
      <c r="F80">
        <v>98.3</v>
      </c>
      <c r="G80">
        <v>0.26</v>
      </c>
      <c r="H80">
        <v>3.3000000000000002E-2</v>
      </c>
    </row>
    <row r="81" spans="1:8" x14ac:dyDescent="0.4">
      <c r="A81">
        <v>140</v>
      </c>
      <c r="B81">
        <v>600</v>
      </c>
      <c r="C81">
        <v>80</v>
      </c>
      <c r="D81">
        <v>30</v>
      </c>
      <c r="E81">
        <f>A81/(B81*C81*0.001*D81*0.001)</f>
        <v>97.222222222222229</v>
      </c>
      <c r="F81">
        <v>98.8</v>
      </c>
      <c r="G81">
        <v>0.25</v>
      </c>
      <c r="H81">
        <v>3.1E-2</v>
      </c>
    </row>
    <row r="82" spans="1:8" x14ac:dyDescent="0.4">
      <c r="A82">
        <v>160</v>
      </c>
      <c r="B82">
        <v>600</v>
      </c>
      <c r="C82">
        <v>90</v>
      </c>
      <c r="D82">
        <v>30</v>
      </c>
      <c r="E82">
        <f>A82/(B82*C82*0.001*D82*0.001)</f>
        <v>98.76543209876543</v>
      </c>
      <c r="F82">
        <v>99.3</v>
      </c>
      <c r="G82">
        <v>0.25</v>
      </c>
      <c r="H82">
        <v>3.3000000000000002E-2</v>
      </c>
    </row>
    <row r="83" spans="1:8" x14ac:dyDescent="0.4">
      <c r="A83">
        <v>190</v>
      </c>
      <c r="B83">
        <v>600</v>
      </c>
      <c r="C83">
        <v>80</v>
      </c>
      <c r="D83">
        <v>40</v>
      </c>
      <c r="E83">
        <f>A83/(B83*C83*0.001*D83*0.001)</f>
        <v>98.958333333333343</v>
      </c>
      <c r="F83">
        <v>99.3</v>
      </c>
      <c r="G83">
        <v>0.24</v>
      </c>
      <c r="H83">
        <v>2.9000000000000001E-2</v>
      </c>
    </row>
    <row r="84" spans="1:8" x14ac:dyDescent="0.4">
      <c r="A84">
        <v>120</v>
      </c>
      <c r="B84">
        <v>500</v>
      </c>
      <c r="C84">
        <v>80</v>
      </c>
      <c r="D84">
        <v>30</v>
      </c>
      <c r="E84">
        <f>A84/(B84*C84*0.001*D84*0.001)</f>
        <v>100</v>
      </c>
      <c r="F84">
        <v>99.4</v>
      </c>
      <c r="G84">
        <v>0.26</v>
      </c>
      <c r="H84">
        <v>2.9000000000000001E-2</v>
      </c>
    </row>
    <row r="85" spans="1:8" x14ac:dyDescent="0.4">
      <c r="A85">
        <v>160</v>
      </c>
      <c r="B85">
        <v>400</v>
      </c>
      <c r="C85">
        <v>80</v>
      </c>
      <c r="D85">
        <v>50</v>
      </c>
      <c r="E85">
        <f>A85/(B85*C85*0.001*D85*0.001)</f>
        <v>100</v>
      </c>
      <c r="F85">
        <v>99.5</v>
      </c>
      <c r="G85">
        <v>0.27</v>
      </c>
      <c r="H85">
        <v>2.8000000000000001E-2</v>
      </c>
    </row>
    <row r="86" spans="1:8" x14ac:dyDescent="0.4">
      <c r="A86">
        <v>160</v>
      </c>
      <c r="B86">
        <v>500</v>
      </c>
      <c r="C86">
        <v>80</v>
      </c>
      <c r="D86">
        <v>40</v>
      </c>
      <c r="E86">
        <f>A86/(B86*C86*0.001*D86*0.001)</f>
        <v>100</v>
      </c>
      <c r="F86">
        <v>99.4</v>
      </c>
      <c r="G86">
        <v>0.26</v>
      </c>
      <c r="H86">
        <v>2.7E-2</v>
      </c>
    </row>
    <row r="87" spans="1:8" x14ac:dyDescent="0.4">
      <c r="A87">
        <v>180</v>
      </c>
      <c r="B87">
        <v>500</v>
      </c>
      <c r="C87">
        <v>90</v>
      </c>
      <c r="D87">
        <v>40</v>
      </c>
      <c r="E87">
        <f>A87/(B87*C87*0.001*D87*0.001)</f>
        <v>100</v>
      </c>
      <c r="F87">
        <v>99.5</v>
      </c>
      <c r="G87">
        <v>0.26</v>
      </c>
      <c r="H87">
        <v>2.5000000000000001E-2</v>
      </c>
    </row>
    <row r="88" spans="1:8" x14ac:dyDescent="0.4">
      <c r="A88">
        <v>180</v>
      </c>
      <c r="B88">
        <v>400</v>
      </c>
      <c r="C88">
        <v>90</v>
      </c>
      <c r="D88">
        <v>50</v>
      </c>
      <c r="E88">
        <f>A88/(B88*C88*0.001*D88*0.001)</f>
        <v>100</v>
      </c>
      <c r="F88">
        <v>99.5</v>
      </c>
      <c r="G88">
        <v>0.25</v>
      </c>
      <c r="H88">
        <v>2.5000000000000001E-2</v>
      </c>
    </row>
    <row r="89" spans="1:8" x14ac:dyDescent="0.4">
      <c r="A89">
        <v>130</v>
      </c>
      <c r="B89">
        <v>400</v>
      </c>
      <c r="C89">
        <v>80</v>
      </c>
      <c r="D89">
        <v>40</v>
      </c>
      <c r="E89">
        <f>A89/(B89*C89*0.001*D89*0.001)</f>
        <v>101.5625</v>
      </c>
      <c r="F89">
        <v>99.5</v>
      </c>
      <c r="G89">
        <v>0.25</v>
      </c>
      <c r="H89">
        <v>2.3E-2</v>
      </c>
    </row>
    <row r="90" spans="1:8" x14ac:dyDescent="0.4">
      <c r="A90">
        <v>140</v>
      </c>
      <c r="B90">
        <v>500</v>
      </c>
      <c r="C90">
        <v>90</v>
      </c>
      <c r="D90">
        <v>30</v>
      </c>
      <c r="E90">
        <f>A90/(B90*C90*0.001*D90*0.001)</f>
        <v>103.7037037037037</v>
      </c>
      <c r="F90">
        <v>99.6</v>
      </c>
      <c r="G90">
        <v>0.27</v>
      </c>
      <c r="H90">
        <v>2.3E-2</v>
      </c>
    </row>
    <row r="91" spans="1:8" x14ac:dyDescent="0.4">
      <c r="A91">
        <v>150</v>
      </c>
      <c r="B91">
        <v>400</v>
      </c>
      <c r="C91">
        <v>90</v>
      </c>
      <c r="D91">
        <v>40</v>
      </c>
      <c r="E91">
        <f>A91/(B91*C91*0.001*D91*0.001)</f>
        <v>104.16666666666667</v>
      </c>
      <c r="F91">
        <v>99.8</v>
      </c>
      <c r="G91">
        <v>0.26</v>
      </c>
      <c r="H91">
        <v>2.1000000000000001E-2</v>
      </c>
    </row>
    <row r="92" spans="1:8" x14ac:dyDescent="0.4">
      <c r="A92">
        <v>150</v>
      </c>
      <c r="B92">
        <v>600</v>
      </c>
      <c r="C92">
        <v>80</v>
      </c>
      <c r="D92">
        <v>30</v>
      </c>
      <c r="E92">
        <f>A92/(B92*C92*0.001*D92*0.001)</f>
        <v>104.16666666666667</v>
      </c>
      <c r="F92">
        <v>99.8</v>
      </c>
      <c r="G92">
        <v>0.27</v>
      </c>
      <c r="H92">
        <v>0.02</v>
      </c>
    </row>
    <row r="93" spans="1:8" x14ac:dyDescent="0.4">
      <c r="A93">
        <v>170</v>
      </c>
      <c r="B93">
        <v>600</v>
      </c>
      <c r="C93">
        <v>90</v>
      </c>
      <c r="D93">
        <v>30</v>
      </c>
      <c r="E93">
        <f>A93/(B93*C93*0.001*D93*0.001)</f>
        <v>104.93827160493827</v>
      </c>
      <c r="F93">
        <v>99.8</v>
      </c>
      <c r="G93">
        <v>0.28000000000000003</v>
      </c>
      <c r="H93">
        <v>1.9E-2</v>
      </c>
    </row>
    <row r="94" spans="1:8" x14ac:dyDescent="0.4">
      <c r="A94">
        <v>190</v>
      </c>
      <c r="B94">
        <v>400</v>
      </c>
      <c r="C94">
        <v>90</v>
      </c>
      <c r="D94">
        <v>50</v>
      </c>
      <c r="E94">
        <f>A94/(B94*C94*0.001*D94*0.001)</f>
        <v>105.55555555555556</v>
      </c>
      <c r="F94">
        <v>99.9</v>
      </c>
      <c r="G94">
        <v>0.26</v>
      </c>
      <c r="H94">
        <v>1.7999999999999999E-2</v>
      </c>
    </row>
    <row r="95" spans="1:8" x14ac:dyDescent="0.4">
      <c r="A95">
        <v>190</v>
      </c>
      <c r="B95">
        <v>500</v>
      </c>
      <c r="C95">
        <v>90</v>
      </c>
      <c r="D95">
        <v>40</v>
      </c>
      <c r="E95">
        <f>A95/(B95*C95*0.001*D95*0.001)</f>
        <v>105.55555555555556</v>
      </c>
      <c r="F95">
        <v>99.8</v>
      </c>
      <c r="G95">
        <v>0.28000000000000003</v>
      </c>
      <c r="H95">
        <v>1.7000000000000001E-2</v>
      </c>
    </row>
    <row r="96" spans="1:8" x14ac:dyDescent="0.4">
      <c r="A96">
        <v>170</v>
      </c>
      <c r="B96">
        <v>500</v>
      </c>
      <c r="C96">
        <v>80</v>
      </c>
      <c r="D96">
        <v>40</v>
      </c>
      <c r="E96">
        <f>A96/(B96*C96*0.001*D96*0.001)</f>
        <v>106.25</v>
      </c>
      <c r="F96">
        <v>99.9</v>
      </c>
      <c r="G96">
        <v>0.28000000000000003</v>
      </c>
      <c r="H96">
        <v>1.7999999999999999E-2</v>
      </c>
    </row>
    <row r="97" spans="1:8" x14ac:dyDescent="0.4">
      <c r="A97">
        <v>170</v>
      </c>
      <c r="B97">
        <v>400</v>
      </c>
      <c r="C97">
        <v>80</v>
      </c>
      <c r="D97">
        <v>50</v>
      </c>
      <c r="E97">
        <f>A97/(B97*C97*0.001*D97*0.001)</f>
        <v>106.25</v>
      </c>
      <c r="F97">
        <v>99.9</v>
      </c>
      <c r="G97">
        <v>0.27</v>
      </c>
      <c r="H97">
        <v>1.7000000000000001E-2</v>
      </c>
    </row>
    <row r="98" spans="1:8" x14ac:dyDescent="0.4">
      <c r="A98">
        <v>130</v>
      </c>
      <c r="B98">
        <v>500</v>
      </c>
      <c r="C98">
        <v>80</v>
      </c>
      <c r="D98">
        <v>30</v>
      </c>
      <c r="E98">
        <f>A98/(B98*C98*0.001*D98*0.001)</f>
        <v>108.33333333333334</v>
      </c>
      <c r="F98">
        <v>99.9</v>
      </c>
      <c r="G98">
        <v>0.26</v>
      </c>
      <c r="H98">
        <v>1.6E-2</v>
      </c>
    </row>
    <row r="99" spans="1:8" x14ac:dyDescent="0.4">
      <c r="A99">
        <v>140</v>
      </c>
      <c r="B99">
        <v>400</v>
      </c>
      <c r="C99">
        <v>80</v>
      </c>
      <c r="D99">
        <v>40</v>
      </c>
      <c r="E99">
        <f>A99/(B99*C99*0.001*D99*0.001)</f>
        <v>109.375</v>
      </c>
      <c r="F99">
        <v>99.8</v>
      </c>
      <c r="G99">
        <v>0.27</v>
      </c>
      <c r="H99">
        <v>1.7000000000000001E-2</v>
      </c>
    </row>
    <row r="100" spans="1:8" x14ac:dyDescent="0.4">
      <c r="A100">
        <v>120</v>
      </c>
      <c r="B100">
        <v>400</v>
      </c>
      <c r="C100">
        <v>90</v>
      </c>
      <c r="D100">
        <v>30</v>
      </c>
      <c r="E100">
        <f>A100/(B100*C100*0.001*D100*0.001)</f>
        <v>111.1111111111111</v>
      </c>
      <c r="F100">
        <v>99.9</v>
      </c>
      <c r="G100">
        <v>0.28000000000000003</v>
      </c>
      <c r="H100">
        <v>1.7999999999999999E-2</v>
      </c>
    </row>
    <row r="101" spans="1:8" x14ac:dyDescent="0.4">
      <c r="A101">
        <v>150</v>
      </c>
      <c r="B101">
        <v>500</v>
      </c>
      <c r="C101">
        <v>90</v>
      </c>
      <c r="D101">
        <v>30</v>
      </c>
      <c r="E101">
        <f>A101/(B101*C101*0.001*D101*0.001)</f>
        <v>111.1111111111111</v>
      </c>
      <c r="F101">
        <v>99.8</v>
      </c>
      <c r="G101">
        <v>0.28999999999999998</v>
      </c>
      <c r="H101">
        <v>1.7000000000000001E-2</v>
      </c>
    </row>
    <row r="102" spans="1:8" x14ac:dyDescent="0.4">
      <c r="A102">
        <v>180</v>
      </c>
      <c r="B102">
        <v>600</v>
      </c>
      <c r="C102">
        <v>90</v>
      </c>
      <c r="D102">
        <v>30</v>
      </c>
      <c r="E102">
        <f>A102/(B102*C102*0.001*D102*0.001)</f>
        <v>111.1111111111111</v>
      </c>
      <c r="F102">
        <v>99.9</v>
      </c>
      <c r="G102">
        <v>0.28999999999999998</v>
      </c>
      <c r="H102">
        <v>1.6E-2</v>
      </c>
    </row>
    <row r="103" spans="1:8" x14ac:dyDescent="0.4">
      <c r="A103">
        <v>160</v>
      </c>
      <c r="B103">
        <v>400</v>
      </c>
      <c r="C103">
        <v>90</v>
      </c>
      <c r="D103">
        <v>40</v>
      </c>
      <c r="E103">
        <f>A103/(B103*C103*0.001*D103*0.001)</f>
        <v>111.11111111111111</v>
      </c>
      <c r="F103">
        <v>99.9</v>
      </c>
      <c r="G103">
        <v>0.28999999999999998</v>
      </c>
      <c r="H103">
        <v>1.7000000000000001E-2</v>
      </c>
    </row>
    <row r="104" spans="1:8" x14ac:dyDescent="0.4">
      <c r="A104">
        <v>160</v>
      </c>
      <c r="B104">
        <v>600</v>
      </c>
      <c r="C104">
        <v>80</v>
      </c>
      <c r="D104">
        <v>30</v>
      </c>
      <c r="E104">
        <f>A104/(B104*C104*0.001*D104*0.001)</f>
        <v>111.11111111111111</v>
      </c>
      <c r="F104">
        <v>99.9</v>
      </c>
      <c r="G104">
        <v>0.3</v>
      </c>
      <c r="H104">
        <v>1.4999999999999999E-2</v>
      </c>
    </row>
    <row r="105" spans="1:8" x14ac:dyDescent="0.4">
      <c r="A105">
        <v>180</v>
      </c>
      <c r="B105">
        <v>400</v>
      </c>
      <c r="C105">
        <v>80</v>
      </c>
      <c r="D105">
        <v>50</v>
      </c>
      <c r="E105">
        <f>A105/(B105*C105*0.001*D105*0.001)</f>
        <v>112.5</v>
      </c>
      <c r="F105">
        <v>99.8</v>
      </c>
      <c r="G105">
        <v>0.28999999999999998</v>
      </c>
      <c r="H105">
        <v>1.4999999999999999E-2</v>
      </c>
    </row>
    <row r="106" spans="1:8" x14ac:dyDescent="0.4">
      <c r="A106">
        <v>180</v>
      </c>
      <c r="B106">
        <v>500</v>
      </c>
      <c r="C106">
        <v>80</v>
      </c>
      <c r="D106">
        <v>40</v>
      </c>
      <c r="E106">
        <f>A106/(B106*C106*0.001*D106*0.001)</f>
        <v>112.5</v>
      </c>
      <c r="F106">
        <v>99.7</v>
      </c>
      <c r="G106">
        <v>0.28999999999999998</v>
      </c>
      <c r="H106">
        <v>1.7000000000000001E-2</v>
      </c>
    </row>
    <row r="107" spans="1:8" x14ac:dyDescent="0.4">
      <c r="A107">
        <v>140</v>
      </c>
      <c r="B107">
        <v>500</v>
      </c>
      <c r="C107">
        <v>80</v>
      </c>
      <c r="D107">
        <v>30</v>
      </c>
      <c r="E107">
        <f>A107/(B107*C107*0.001*D107*0.001)</f>
        <v>116.66666666666667</v>
      </c>
      <c r="F107">
        <v>99.7</v>
      </c>
      <c r="G107">
        <v>0.27</v>
      </c>
      <c r="H107">
        <v>1.6E-2</v>
      </c>
    </row>
    <row r="108" spans="1:8" x14ac:dyDescent="0.4">
      <c r="A108">
        <v>150</v>
      </c>
      <c r="B108">
        <v>400</v>
      </c>
      <c r="C108">
        <v>80</v>
      </c>
      <c r="D108">
        <v>40</v>
      </c>
      <c r="E108">
        <f>A108/(B108*C108*0.001*D108*0.001)</f>
        <v>117.1875</v>
      </c>
      <c r="F108">
        <v>99.8</v>
      </c>
      <c r="G108">
        <v>0.28000000000000003</v>
      </c>
      <c r="H108">
        <v>1.7000000000000001E-2</v>
      </c>
    </row>
    <row r="109" spans="1:8" x14ac:dyDescent="0.4">
      <c r="A109">
        <v>190</v>
      </c>
      <c r="B109">
        <v>600</v>
      </c>
      <c r="C109">
        <v>90</v>
      </c>
      <c r="D109">
        <v>30</v>
      </c>
      <c r="E109">
        <f>A109/(B109*C109*0.001*D109*0.001)</f>
        <v>117.28395061728395</v>
      </c>
      <c r="F109">
        <v>99.7</v>
      </c>
      <c r="G109">
        <v>0.28000000000000003</v>
      </c>
      <c r="H109">
        <v>1.7999999999999999E-2</v>
      </c>
    </row>
    <row r="110" spans="1:8" x14ac:dyDescent="0.4">
      <c r="A110">
        <v>170</v>
      </c>
      <c r="B110">
        <v>400</v>
      </c>
      <c r="C110">
        <v>90</v>
      </c>
      <c r="D110">
        <v>40</v>
      </c>
      <c r="E110">
        <f>A110/(B110*C110*0.001*D110*0.001)</f>
        <v>118.05555555555556</v>
      </c>
      <c r="F110">
        <v>99.8</v>
      </c>
      <c r="G110">
        <v>0.27</v>
      </c>
      <c r="H110">
        <v>1.9E-2</v>
      </c>
    </row>
    <row r="111" spans="1:8" x14ac:dyDescent="0.4">
      <c r="A111">
        <v>170</v>
      </c>
      <c r="B111">
        <v>600</v>
      </c>
      <c r="C111">
        <v>80</v>
      </c>
      <c r="D111">
        <v>30</v>
      </c>
      <c r="E111">
        <f>A111/(B111*C111*0.001*D111*0.001)</f>
        <v>118.05555555555556</v>
      </c>
      <c r="F111">
        <v>99.6</v>
      </c>
      <c r="G111">
        <v>0.28999999999999998</v>
      </c>
      <c r="H111">
        <v>0.02</v>
      </c>
    </row>
    <row r="112" spans="1:8" x14ac:dyDescent="0.4">
      <c r="A112" s="2">
        <v>160</v>
      </c>
      <c r="B112" s="2">
        <v>500</v>
      </c>
      <c r="C112" s="2">
        <v>90</v>
      </c>
      <c r="D112" s="2">
        <v>30</v>
      </c>
      <c r="E112" s="2">
        <f>A112/(B112*C112*0.001*D112*0.001)</f>
        <v>118.5185185185185</v>
      </c>
      <c r="F112" s="2">
        <v>99.5</v>
      </c>
      <c r="G112" s="2">
        <v>0.28000000000000003</v>
      </c>
      <c r="H112" s="2">
        <v>2.1000000000000001E-2</v>
      </c>
    </row>
    <row r="113" spans="1:8" x14ac:dyDescent="0.4">
      <c r="A113">
        <v>190</v>
      </c>
      <c r="B113">
        <v>500</v>
      </c>
      <c r="C113">
        <v>80</v>
      </c>
      <c r="D113">
        <v>40</v>
      </c>
      <c r="E113">
        <f>A113/(B113*C113*0.001*D113*0.001)</f>
        <v>118.75</v>
      </c>
      <c r="F113">
        <v>99.6</v>
      </c>
      <c r="G113">
        <v>0.27</v>
      </c>
      <c r="H113">
        <v>2.1000000000000001E-2</v>
      </c>
    </row>
    <row r="114" spans="1:8" x14ac:dyDescent="0.4">
      <c r="A114">
        <v>190</v>
      </c>
      <c r="B114">
        <v>400</v>
      </c>
      <c r="C114">
        <v>80</v>
      </c>
      <c r="D114">
        <v>50</v>
      </c>
      <c r="E114">
        <f>A114/(B114*C114*0.001*D114*0.001)</f>
        <v>118.75</v>
      </c>
      <c r="F114">
        <v>99.8</v>
      </c>
      <c r="G114">
        <v>0.26</v>
      </c>
      <c r="H114">
        <v>2.1999999999999999E-2</v>
      </c>
    </row>
    <row r="115" spans="1:8" x14ac:dyDescent="0.4">
      <c r="A115">
        <v>130</v>
      </c>
      <c r="B115">
        <v>400</v>
      </c>
      <c r="C115">
        <v>90</v>
      </c>
      <c r="D115">
        <v>30</v>
      </c>
      <c r="E115">
        <f>A115/(B115*C115*0.001*D115*0.001)</f>
        <v>120.37037037037037</v>
      </c>
      <c r="F115">
        <v>99.7</v>
      </c>
      <c r="G115">
        <v>0.25</v>
      </c>
      <c r="H115">
        <v>2.3E-2</v>
      </c>
    </row>
    <row r="116" spans="1:8" x14ac:dyDescent="0.4">
      <c r="A116">
        <v>120</v>
      </c>
      <c r="B116">
        <v>400</v>
      </c>
      <c r="C116">
        <v>80</v>
      </c>
      <c r="D116">
        <v>30</v>
      </c>
      <c r="E116">
        <f>A116/(B116*C116*0.001*D116*0.001)</f>
        <v>125</v>
      </c>
      <c r="F116">
        <v>99.5</v>
      </c>
      <c r="G116">
        <v>0.25</v>
      </c>
      <c r="H116">
        <v>2.3E-2</v>
      </c>
    </row>
    <row r="117" spans="1:8" x14ac:dyDescent="0.4">
      <c r="A117">
        <v>150</v>
      </c>
      <c r="B117">
        <v>500</v>
      </c>
      <c r="C117">
        <v>80</v>
      </c>
      <c r="D117">
        <v>30</v>
      </c>
      <c r="E117">
        <f>A117/(B117*C117*0.001*D117*0.001)</f>
        <v>125</v>
      </c>
      <c r="F117">
        <v>99.5</v>
      </c>
      <c r="G117">
        <v>0.26</v>
      </c>
      <c r="H117">
        <v>2.4E-2</v>
      </c>
    </row>
    <row r="118" spans="1:8" x14ac:dyDescent="0.4">
      <c r="A118">
        <v>160</v>
      </c>
      <c r="B118">
        <v>400</v>
      </c>
      <c r="C118">
        <v>80</v>
      </c>
      <c r="D118">
        <v>40</v>
      </c>
      <c r="E118">
        <f>A118/(B118*C118*0.001*D118*0.001)</f>
        <v>125</v>
      </c>
      <c r="F118">
        <v>99.5</v>
      </c>
      <c r="G118">
        <v>0.25</v>
      </c>
      <c r="H118">
        <v>2.1999999999999999E-2</v>
      </c>
    </row>
    <row r="119" spans="1:8" x14ac:dyDescent="0.4">
      <c r="A119">
        <v>180</v>
      </c>
      <c r="B119">
        <v>600</v>
      </c>
      <c r="C119">
        <v>80</v>
      </c>
      <c r="D119">
        <v>30</v>
      </c>
      <c r="E119">
        <f>A119/(B119*C119*0.001*D119*0.001)</f>
        <v>125</v>
      </c>
      <c r="F119">
        <v>99.4</v>
      </c>
      <c r="G119">
        <v>0.25</v>
      </c>
      <c r="H119">
        <v>2.4E-2</v>
      </c>
    </row>
    <row r="120" spans="1:8" x14ac:dyDescent="0.4">
      <c r="A120">
        <v>180</v>
      </c>
      <c r="B120">
        <v>400</v>
      </c>
      <c r="C120">
        <v>90</v>
      </c>
      <c r="D120">
        <v>40</v>
      </c>
      <c r="E120">
        <f>A120/(B120*C120*0.001*D120*0.001)</f>
        <v>125</v>
      </c>
      <c r="F120">
        <v>99.5</v>
      </c>
      <c r="G120">
        <v>0.26</v>
      </c>
      <c r="H120">
        <v>2.5000000000000001E-2</v>
      </c>
    </row>
    <row r="121" spans="1:8" x14ac:dyDescent="0.4">
      <c r="A121">
        <v>170</v>
      </c>
      <c r="B121">
        <v>500</v>
      </c>
      <c r="C121">
        <v>90</v>
      </c>
      <c r="D121">
        <v>30</v>
      </c>
      <c r="E121">
        <f>A121/(B121*C121*0.001*D121*0.001)</f>
        <v>125.92592592592592</v>
      </c>
      <c r="F121">
        <v>99.4</v>
      </c>
      <c r="G121">
        <v>0.25</v>
      </c>
      <c r="H121">
        <v>2.4E-2</v>
      </c>
    </row>
    <row r="122" spans="1:8" x14ac:dyDescent="0.4">
      <c r="A122">
        <v>140</v>
      </c>
      <c r="B122">
        <v>400</v>
      </c>
      <c r="C122">
        <v>90</v>
      </c>
      <c r="D122">
        <v>30</v>
      </c>
      <c r="E122">
        <f>A122/(B122*C122*0.001*D122*0.001)</f>
        <v>129.62962962962962</v>
      </c>
      <c r="F122">
        <v>99.3</v>
      </c>
      <c r="G122">
        <v>0.24</v>
      </c>
      <c r="H122">
        <v>2.5999999999999999E-2</v>
      </c>
    </row>
    <row r="123" spans="1:8" x14ac:dyDescent="0.4">
      <c r="A123">
        <v>190</v>
      </c>
      <c r="B123">
        <v>600</v>
      </c>
      <c r="C123">
        <v>80</v>
      </c>
      <c r="D123">
        <v>30</v>
      </c>
      <c r="E123">
        <f>A123/(B123*C123*0.001*D123*0.001)</f>
        <v>131.94444444444446</v>
      </c>
      <c r="F123">
        <v>99.2</v>
      </c>
      <c r="G123">
        <v>0.24</v>
      </c>
      <c r="H123">
        <v>2.5000000000000001E-2</v>
      </c>
    </row>
    <row r="124" spans="1:8" x14ac:dyDescent="0.4">
      <c r="A124">
        <v>190</v>
      </c>
      <c r="B124">
        <v>400</v>
      </c>
      <c r="C124">
        <v>90</v>
      </c>
      <c r="D124">
        <v>40</v>
      </c>
      <c r="E124">
        <f>A124/(B124*C124*0.001*D124*0.001)</f>
        <v>131.94444444444446</v>
      </c>
      <c r="F124">
        <v>99.3</v>
      </c>
      <c r="G124">
        <v>0.25</v>
      </c>
      <c r="H124">
        <v>2.5000000000000001E-2</v>
      </c>
    </row>
    <row r="125" spans="1:8" x14ac:dyDescent="0.4">
      <c r="A125">
        <v>170</v>
      </c>
      <c r="B125">
        <v>400</v>
      </c>
      <c r="C125">
        <v>80</v>
      </c>
      <c r="D125">
        <v>40</v>
      </c>
      <c r="E125">
        <f>A125/(B125*C125*0.001*D125*0.001)</f>
        <v>132.8125</v>
      </c>
      <c r="F125">
        <v>99.2</v>
      </c>
      <c r="G125">
        <v>0.24</v>
      </c>
      <c r="H125">
        <v>2.5999999999999999E-2</v>
      </c>
    </row>
    <row r="126" spans="1:8" x14ac:dyDescent="0.4">
      <c r="A126">
        <v>180</v>
      </c>
      <c r="B126">
        <v>500</v>
      </c>
      <c r="C126">
        <v>90</v>
      </c>
      <c r="D126">
        <v>30</v>
      </c>
      <c r="E126">
        <f>A126/(B126*C126*0.001*D126*0.001)</f>
        <v>133.33333333333331</v>
      </c>
      <c r="F126">
        <v>99.1</v>
      </c>
      <c r="G126">
        <v>0.23</v>
      </c>
      <c r="H126">
        <v>2.5999999999999999E-2</v>
      </c>
    </row>
    <row r="127" spans="1:8" x14ac:dyDescent="0.4">
      <c r="A127">
        <v>160</v>
      </c>
      <c r="B127">
        <v>500</v>
      </c>
      <c r="C127">
        <v>80</v>
      </c>
      <c r="D127">
        <v>30</v>
      </c>
      <c r="E127">
        <f>A127/(B127*C127*0.001*D127*0.001)</f>
        <v>133.33333333333334</v>
      </c>
      <c r="F127">
        <v>99.2</v>
      </c>
      <c r="G127">
        <v>0.23</v>
      </c>
      <c r="H127">
        <v>2.7E-2</v>
      </c>
    </row>
    <row r="128" spans="1:8" x14ac:dyDescent="0.4">
      <c r="A128">
        <v>130</v>
      </c>
      <c r="B128">
        <v>400</v>
      </c>
      <c r="C128">
        <v>80</v>
      </c>
      <c r="D128">
        <v>30</v>
      </c>
      <c r="E128">
        <f>A128/(B128*C128*0.001*D128*0.001)</f>
        <v>135.41666666666669</v>
      </c>
      <c r="F128">
        <v>98.8</v>
      </c>
      <c r="G128">
        <v>0.22</v>
      </c>
      <c r="H128">
        <v>2.8000000000000001E-2</v>
      </c>
    </row>
    <row r="129" spans="1:8" x14ac:dyDescent="0.4">
      <c r="A129">
        <v>150</v>
      </c>
      <c r="B129">
        <v>400</v>
      </c>
      <c r="C129">
        <v>90</v>
      </c>
      <c r="D129">
        <v>30</v>
      </c>
      <c r="E129">
        <f>A129/(B129*C129*0.001*D129*0.001)</f>
        <v>138.88888888888889</v>
      </c>
      <c r="F129">
        <v>98.6</v>
      </c>
      <c r="G129">
        <v>0.23</v>
      </c>
      <c r="H129">
        <v>2.7E-2</v>
      </c>
    </row>
    <row r="130" spans="1:8" x14ac:dyDescent="0.4">
      <c r="A130">
        <v>180</v>
      </c>
      <c r="B130">
        <v>400</v>
      </c>
      <c r="C130">
        <v>80</v>
      </c>
      <c r="D130">
        <v>40</v>
      </c>
      <c r="E130">
        <f>A130/(B130*C130*0.001*D130*0.001)</f>
        <v>140.625</v>
      </c>
      <c r="F130">
        <v>98.5</v>
      </c>
      <c r="G130">
        <v>0.23</v>
      </c>
      <c r="H130">
        <v>2.9000000000000001E-2</v>
      </c>
    </row>
    <row r="131" spans="1:8" x14ac:dyDescent="0.4">
      <c r="A131">
        <v>190</v>
      </c>
      <c r="B131">
        <v>500</v>
      </c>
      <c r="C131">
        <v>90</v>
      </c>
      <c r="D131">
        <v>30</v>
      </c>
      <c r="E131">
        <f>A131/(B131*C131*0.001*D131*0.001)</f>
        <v>140.74074074074073</v>
      </c>
      <c r="F131">
        <v>98.8</v>
      </c>
      <c r="G131">
        <v>0.22</v>
      </c>
      <c r="H131">
        <v>2.9000000000000001E-2</v>
      </c>
    </row>
    <row r="132" spans="1:8" x14ac:dyDescent="0.4">
      <c r="A132">
        <v>170</v>
      </c>
      <c r="B132">
        <v>500</v>
      </c>
      <c r="C132">
        <v>80</v>
      </c>
      <c r="D132">
        <v>30</v>
      </c>
      <c r="E132">
        <f>A132/(B132*C132*0.001*D132*0.001)</f>
        <v>141.66666666666669</v>
      </c>
      <c r="F132">
        <v>98.2</v>
      </c>
      <c r="G132">
        <v>0.21</v>
      </c>
      <c r="H132">
        <v>0.03</v>
      </c>
    </row>
    <row r="133" spans="1:8" x14ac:dyDescent="0.4">
      <c r="A133">
        <v>140</v>
      </c>
      <c r="B133">
        <v>400</v>
      </c>
      <c r="C133">
        <v>80</v>
      </c>
      <c r="D133">
        <v>30</v>
      </c>
      <c r="E133">
        <f>A133/(B133*C133*0.001*D133*0.001)</f>
        <v>145.83333333333334</v>
      </c>
      <c r="F133">
        <v>98.1</v>
      </c>
      <c r="G133">
        <v>0.21</v>
      </c>
      <c r="H133">
        <v>2.9000000000000001E-2</v>
      </c>
    </row>
    <row r="134" spans="1:8" x14ac:dyDescent="0.4">
      <c r="A134">
        <v>160</v>
      </c>
      <c r="B134">
        <v>400</v>
      </c>
      <c r="C134">
        <v>90</v>
      </c>
      <c r="D134">
        <v>30</v>
      </c>
      <c r="E134">
        <f>A134/(B134*C134*0.001*D134*0.001)</f>
        <v>148.14814814814815</v>
      </c>
      <c r="F134">
        <v>98.2</v>
      </c>
      <c r="G134">
        <v>0.22</v>
      </c>
      <c r="H134">
        <v>2.8899999999999999E-2</v>
      </c>
    </row>
    <row r="135" spans="1:8" x14ac:dyDescent="0.4">
      <c r="A135">
        <v>190</v>
      </c>
      <c r="B135">
        <v>400</v>
      </c>
      <c r="C135">
        <v>80</v>
      </c>
      <c r="D135">
        <v>40</v>
      </c>
      <c r="E135">
        <f>A135/(B135*C135*0.001*D135*0.001)</f>
        <v>148.4375</v>
      </c>
      <c r="F135">
        <v>98.3</v>
      </c>
      <c r="G135">
        <v>0.21</v>
      </c>
      <c r="H135">
        <v>2.9000000000000001E-2</v>
      </c>
    </row>
    <row r="136" spans="1:8" x14ac:dyDescent="0.4">
      <c r="A136">
        <v>180</v>
      </c>
      <c r="B136">
        <v>500</v>
      </c>
      <c r="C136">
        <v>80</v>
      </c>
      <c r="D136">
        <v>30</v>
      </c>
      <c r="E136">
        <f>A136/(B136*C136*0.001*D136*0.001)</f>
        <v>150</v>
      </c>
      <c r="F136">
        <v>98.1</v>
      </c>
      <c r="G136">
        <v>0.22</v>
      </c>
      <c r="H136">
        <v>2.8000000000000001E-2</v>
      </c>
    </row>
    <row r="137" spans="1:8" x14ac:dyDescent="0.4">
      <c r="A137">
        <v>150</v>
      </c>
      <c r="B137">
        <v>400</v>
      </c>
      <c r="C137">
        <v>80</v>
      </c>
      <c r="D137">
        <v>30</v>
      </c>
      <c r="E137">
        <f>A137/(B137*C137*0.001*D137*0.001)</f>
        <v>156.25</v>
      </c>
      <c r="F137">
        <v>97.8</v>
      </c>
      <c r="G137">
        <v>0.21</v>
      </c>
      <c r="H137">
        <v>2.8899999999999999E-2</v>
      </c>
    </row>
    <row r="138" spans="1:8" x14ac:dyDescent="0.4">
      <c r="A138">
        <v>170</v>
      </c>
      <c r="B138">
        <v>400</v>
      </c>
      <c r="C138">
        <v>90</v>
      </c>
      <c r="D138">
        <v>30</v>
      </c>
      <c r="E138">
        <f>A138/(B138*C138*0.001*D138*0.001)</f>
        <v>157.40740740740739</v>
      </c>
      <c r="F138">
        <v>98.2</v>
      </c>
      <c r="G138">
        <v>0.2</v>
      </c>
      <c r="H138">
        <v>2.8000000000000001E-2</v>
      </c>
    </row>
    <row r="139" spans="1:8" x14ac:dyDescent="0.4">
      <c r="A139">
        <v>190</v>
      </c>
      <c r="B139">
        <v>500</v>
      </c>
      <c r="C139">
        <v>80</v>
      </c>
      <c r="D139">
        <v>30</v>
      </c>
      <c r="E139">
        <f>A139/(B139*C139*0.001*D139*0.001)</f>
        <v>158.33333333333334</v>
      </c>
      <c r="F139">
        <v>97.9</v>
      </c>
      <c r="G139">
        <v>0.2</v>
      </c>
      <c r="H139">
        <v>2.93E-2</v>
      </c>
    </row>
    <row r="140" spans="1:8" x14ac:dyDescent="0.4">
      <c r="A140" s="2">
        <v>180</v>
      </c>
      <c r="B140" s="2">
        <v>400</v>
      </c>
      <c r="C140" s="2">
        <v>90</v>
      </c>
      <c r="D140" s="2">
        <v>30</v>
      </c>
      <c r="E140" s="2">
        <f>A140/(B140*C140*0.001*D140*0.001)</f>
        <v>166.66666666666666</v>
      </c>
      <c r="F140" s="2">
        <v>98.1</v>
      </c>
      <c r="G140" s="2">
        <v>0.19</v>
      </c>
      <c r="H140" s="2">
        <v>2.9499999999999998E-2</v>
      </c>
    </row>
    <row r="141" spans="1:8" x14ac:dyDescent="0.4">
      <c r="A141">
        <v>160</v>
      </c>
      <c r="B141">
        <v>400</v>
      </c>
      <c r="C141">
        <v>80</v>
      </c>
      <c r="D141">
        <v>30</v>
      </c>
      <c r="E141">
        <f>A141/(B141*C141*0.001*D141*0.001)</f>
        <v>166.66666666666669</v>
      </c>
      <c r="F141">
        <v>97.8</v>
      </c>
      <c r="G141">
        <v>0.19</v>
      </c>
      <c r="H141">
        <v>2.9700000000000001E-2</v>
      </c>
    </row>
    <row r="142" spans="1:8" x14ac:dyDescent="0.4">
      <c r="A142">
        <v>190</v>
      </c>
      <c r="B142">
        <v>400</v>
      </c>
      <c r="C142">
        <v>90</v>
      </c>
      <c r="D142">
        <v>30</v>
      </c>
      <c r="E142">
        <f>A142/(B142*C142*0.001*D142*0.001)</f>
        <v>175.92592592592592</v>
      </c>
      <c r="F142">
        <v>98.1</v>
      </c>
      <c r="G142">
        <v>0.18</v>
      </c>
      <c r="H142">
        <v>2.8899999999999999E-2</v>
      </c>
    </row>
    <row r="143" spans="1:8" x14ac:dyDescent="0.4">
      <c r="A143">
        <v>170</v>
      </c>
      <c r="B143">
        <v>400</v>
      </c>
      <c r="C143">
        <v>80</v>
      </c>
      <c r="D143">
        <v>30</v>
      </c>
      <c r="E143">
        <f>A143/(B143*C143*0.001*D143*0.001)</f>
        <v>177.08333333333334</v>
      </c>
      <c r="F143">
        <v>98.3</v>
      </c>
      <c r="G143">
        <v>0.18</v>
      </c>
      <c r="H143">
        <v>3.1E-2</v>
      </c>
    </row>
    <row r="144" spans="1:8" x14ac:dyDescent="0.4">
      <c r="A144">
        <v>180</v>
      </c>
      <c r="B144">
        <v>400</v>
      </c>
      <c r="C144">
        <v>80</v>
      </c>
      <c r="D144">
        <v>30</v>
      </c>
      <c r="E144">
        <f>A144/(B144*C144*0.001*D144*0.001)</f>
        <v>187.5</v>
      </c>
      <c r="F144">
        <v>98.2</v>
      </c>
      <c r="G144">
        <v>0.17</v>
      </c>
      <c r="H144">
        <v>0.03</v>
      </c>
    </row>
    <row r="145" spans="1:8" x14ac:dyDescent="0.4">
      <c r="A145">
        <v>190</v>
      </c>
      <c r="B145">
        <v>400</v>
      </c>
      <c r="C145">
        <v>80</v>
      </c>
      <c r="D145">
        <v>30</v>
      </c>
      <c r="E145">
        <f>A145/(B145*C145*0.001*D145*0.001)</f>
        <v>197.91666666666669</v>
      </c>
      <c r="F145">
        <v>98.1</v>
      </c>
      <c r="G145">
        <v>0.18</v>
      </c>
      <c r="H145">
        <v>0.03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吕俊 周</dc:creator>
  <cp:lastModifiedBy>吕俊 周</cp:lastModifiedBy>
  <dcterms:created xsi:type="dcterms:W3CDTF">2025-07-19T01:25:56Z</dcterms:created>
  <dcterms:modified xsi:type="dcterms:W3CDTF">2025-07-19T01:26:43Z</dcterms:modified>
</cp:coreProperties>
</file>